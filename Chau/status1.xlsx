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dao loat\"/>
    </mc:Choice>
  </mc:AlternateContent>
  <bookViews>
    <workbookView xWindow="0" yWindow="0" windowWidth="21570" windowHeight="8085" activeTab="1"/>
  </bookViews>
  <sheets>
    <sheet name="Learning resources" sheetId="2" r:id="rId1"/>
    <sheet name="Assignment" sheetId="1" r:id="rId2"/>
    <sheet name="Member" sheetId="3" r:id="rId3"/>
  </sheet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</calcChain>
</file>

<file path=xl/sharedStrings.xml><?xml version="1.0" encoding="utf-8"?>
<sst xmlns="http://schemas.openxmlformats.org/spreadsheetml/2006/main" count="336" uniqueCount="148">
  <si>
    <t>Task_Name</t>
  </si>
  <si>
    <t>Task_detail</t>
  </si>
  <si>
    <t>Mem_ID</t>
  </si>
  <si>
    <t>Start_Date</t>
  </si>
  <si>
    <t>Deadline</t>
  </si>
  <si>
    <t>Completion_Date</t>
  </si>
  <si>
    <t>Status</t>
  </si>
  <si>
    <t>T01</t>
  </si>
  <si>
    <t>Xác định phạm vi dự án và lập kế hoạch công việc</t>
  </si>
  <si>
    <t>Xác định mục tiêu hệ thống Digital Team Hub, chia nhiệm vụ cho các thành viên và lập timeline thực hiện</t>
  </si>
  <si>
    <t>B2504882</t>
  </si>
  <si>
    <t>2026-03-11</t>
  </si>
  <si>
    <t>2026-03-15</t>
  </si>
  <si>
    <t>2026-03-13</t>
  </si>
  <si>
    <t>Done</t>
  </si>
  <si>
    <t>T02</t>
  </si>
  <si>
    <t>Thiết kế sơ đồ cơ sở dữ liệu (ERD)</t>
  </si>
  <si>
    <t>Xác định các bảng MEMBERS, ASSIGNMENTS, LEARNING_RESOURCES, khóa chính và khóa ngoại</t>
  </si>
  <si>
    <t>T03</t>
  </si>
  <si>
    <t>Tạo cơ sở dữ liệu SQLite và các bảng</t>
  </si>
  <si>
    <t>Tạo file TeamData.db và viết lệnh CREATE TABLE cho các bảng</t>
  </si>
  <si>
    <t>T04</t>
  </si>
  <si>
    <t>Viết các truy vấn SQL</t>
  </si>
  <si>
    <t>Tạo các query lọc task theo trạng thái, join bảng MEMBERS và ASSIGNMENTS</t>
  </si>
  <si>
    <t>T05</t>
  </si>
  <si>
    <t>Tổng hợp tài liệu học tập Chapter 1–3</t>
  </si>
  <si>
    <t>Tìm và lưu trữ slides, bài tập, code mẫu cho các chapter 1–3</t>
  </si>
  <si>
    <t>B2504868</t>
  </si>
  <si>
    <t>2026-03-16</t>
  </si>
  <si>
    <t/>
  </si>
  <si>
    <t>In Progress</t>
  </si>
  <si>
    <t>T06</t>
  </si>
  <si>
    <t>Tổng hợp tài liệu học tập Chapter 4–6</t>
  </si>
  <si>
    <t>Tìm và lưu trữ slides, bài tập, code mẫu cho các chapter 4–6</t>
  </si>
  <si>
    <t>T07</t>
  </si>
  <si>
    <t>Cập nhật thông tin tài liệu vào database</t>
  </si>
  <si>
    <t>Nhập các tài liệu đã thu thập vào bảng LEARNING_RESOURCES và cập nhật trạng thái</t>
  </si>
  <si>
    <t>2026-03-14</t>
  </si>
  <si>
    <t>T08</t>
  </si>
  <si>
    <t>Xuất dữ liệu từ database sang Excel</t>
  </si>
  <si>
    <t>Export các bảng MEMBERS, ASSIGNMENTS, LEARNING_RESOURCES sang Excel</t>
  </si>
  <si>
    <t>B2504867</t>
  </si>
  <si>
    <t>2026-03-19</t>
  </si>
  <si>
    <t>T09</t>
  </si>
  <si>
    <t>Tạo dashboard trong Excel</t>
  </si>
  <si>
    <t>Tạo biểu đồ thống kê trạng thái task và trạng thái tài liệu bằng Pivot hoặc chart</t>
  </si>
  <si>
    <t>T10</t>
  </si>
  <si>
    <t>Tạo GitHub repository cho project</t>
  </si>
  <si>
    <t>Tạo repo, thiết lập cấu trúc thư mục và cấp quyền cho các thành viên</t>
  </si>
  <si>
    <t>B2504878</t>
  </si>
  <si>
    <t>T11_A</t>
  </si>
  <si>
    <t>Tạo GitHub account</t>
  </si>
  <si>
    <t>Các thành viên tạo GitHub Account để up file lên repo</t>
  </si>
  <si>
    <t>2026-03-12</t>
  </si>
  <si>
    <t>T12</t>
  </si>
  <si>
    <t>Vẽ sơ đồ kết nối mạng của nhóm</t>
  </si>
  <si>
    <t>Vẽ network topology từ thiết bị cá nhân → router → ISP → cloud services</t>
  </si>
  <si>
    <t>T13</t>
  </si>
  <si>
    <t>Thiết lập xác thực hai lớp (2FA) cho các tài khoản</t>
  </si>
  <si>
    <t xml:space="preserve">Hướng dẫn các thành viên bật 2FA </t>
  </si>
  <si>
    <t>2026-03-20</t>
  </si>
  <si>
    <t>Not Started</t>
  </si>
  <si>
    <t>T14</t>
  </si>
  <si>
    <t>Soạn chính sách mật khẩu của nhóm</t>
  </si>
  <si>
    <t>Viết quy định về độ dài mật khẩu, ký tự đặc biệt và cách quản lý mật khẩu</t>
  </si>
  <si>
    <t>Overdue</t>
  </si>
  <si>
    <t>T15_A</t>
  </si>
  <si>
    <t>Thu thập ảnh góc học tập của các thành viên</t>
  </si>
  <si>
    <t>Chụp ảnh workspace của từng thành viên và chú thích theo tiêu chuẩn ergonomic</t>
  </si>
  <si>
    <t>T16</t>
  </si>
  <si>
    <t>Tổng hợp nội dung báo cáo kỹ thuật, word</t>
  </si>
  <si>
    <t>Tổng hợp các phần giải thích về database, Excel dashboard, GitHub và các bước thực hiện từ các files ProcessRecord</t>
  </si>
  <si>
    <t>B2504893</t>
  </si>
  <si>
    <t>2026-03-22</t>
  </si>
  <si>
    <t>T17</t>
  </si>
  <si>
    <t>Thiết kế slide PowerPoint</t>
  </si>
  <si>
    <t>Tạo các slide tóm tắt database schema, network diagram, security và AI prompts</t>
  </si>
  <si>
    <t>T18</t>
  </si>
  <si>
    <t>Dựng kịch bản quay Video</t>
  </si>
  <si>
    <t>Xác định độ dài video. Xác định video gồm mấy phần, độ xài từng phần, mỗi phần sẽ gồm nhưng nói dung gì, trình bày/ biểu diễn ra sao.</t>
  </si>
  <si>
    <t>T19</t>
  </si>
  <si>
    <t>Quay video demo hệ thống</t>
  </si>
  <si>
    <t>Quay phần giới thiệu nhóm và demo database, Excel dashboard, GitHub</t>
  </si>
  <si>
    <t>2026-03-21</t>
  </si>
  <si>
    <t>2026-03-24</t>
  </si>
  <si>
    <t>T20</t>
  </si>
  <si>
    <t>Chuẩn bị file ZIP nộp bài</t>
  </si>
  <si>
    <t>Gom tất cả file database, Excel, ảnh, report, video vào một file ZIP</t>
  </si>
  <si>
    <t>T11_B</t>
  </si>
  <si>
    <t>T11_C</t>
  </si>
  <si>
    <t>T11_D</t>
  </si>
  <si>
    <t>T11_E</t>
  </si>
  <si>
    <t>T15_B</t>
  </si>
  <si>
    <t>T15_C</t>
  </si>
  <si>
    <t>T15_D</t>
  </si>
  <si>
    <t>T15_E</t>
  </si>
  <si>
    <t xml:space="preserve"> bbvvvvD/g</t>
  </si>
  <si>
    <t>Draft</t>
  </si>
  <si>
    <t>2026-03-17</t>
  </si>
  <si>
    <t>Dynamic String</t>
  </si>
  <si>
    <t>LTCB10</t>
  </si>
  <si>
    <t>Pointer</t>
  </si>
  <si>
    <t>LTCB09</t>
  </si>
  <si>
    <t>Uploaded</t>
  </si>
  <si>
    <t>https://drive.google.com/file/d/1HS_weriTLR5G0h95A8w1gfq6-_iHDT-_/view?usp=sharing</t>
  </si>
  <si>
    <t>Structures</t>
  </si>
  <si>
    <t>LTCB08</t>
  </si>
  <si>
    <t>Missing</t>
  </si>
  <si>
    <t>String</t>
  </si>
  <si>
    <t>LTCB07</t>
  </si>
  <si>
    <t>https://drive.google.com/file/d/1BK6gCM1PUrN48bmfk6uHUEy43ArUWdpJ/view?usp=sharing</t>
  </si>
  <si>
    <t>Array</t>
  </si>
  <si>
    <t>LTCB06</t>
  </si>
  <si>
    <t>https://drive.google.com/file/d/1JCmCSFlvnirLX0nF3ZbPwZ_qA2B_RKX7/view?usp=sharing</t>
  </si>
  <si>
    <t>Recursive Functions</t>
  </si>
  <si>
    <t>LTCB05</t>
  </si>
  <si>
    <t>https://drive.google.com/file/d/11RuZNfSILe9BZTVQ1mjMSKHtef_Laxoz/view?usp=sharing</t>
  </si>
  <si>
    <t>Functions</t>
  </si>
  <si>
    <t>LTCB04</t>
  </si>
  <si>
    <t>Loop Statements</t>
  </si>
  <si>
    <t>LTCB03</t>
  </si>
  <si>
    <t>https://drive.google.com/file/d/1p43sMQ8dwGj4cOPyroWPB0anKXOAhGHc/view?usp=sharing</t>
  </si>
  <si>
    <t>Branching Statements</t>
  </si>
  <si>
    <t>LTCB02</t>
  </si>
  <si>
    <t>https://drive.google.com/file/d/1HyCmxDgIxWzYs4IBVMA7wnlkxVLp9TXG/view?usp=sharing</t>
  </si>
  <si>
    <t>Basic Components</t>
  </si>
  <si>
    <t>LTCB01</t>
  </si>
  <si>
    <t>Uploaded_Date</t>
  </si>
  <si>
    <t>Link_File</t>
  </si>
  <si>
    <t>Chapter</t>
  </si>
  <si>
    <t>Resource_Name</t>
  </si>
  <si>
    <t>Resource_ID</t>
  </si>
  <si>
    <t>Row Labels</t>
  </si>
  <si>
    <t>Grand Total</t>
  </si>
  <si>
    <t>Count of Status</t>
  </si>
  <si>
    <t>taib2504893@student.ctu.edu.vn</t>
  </si>
  <si>
    <t>Nguyễn Thành Tài</t>
  </si>
  <si>
    <t>chaub2504867@student.ctu.edu.vn</t>
  </si>
  <si>
    <t>Nguyễn Ngọc Châu</t>
  </si>
  <si>
    <t>chuongB2504868@student.ctu.edu.vn</t>
  </si>
  <si>
    <t>Nguyễn Phúc Nguyên Chương</t>
  </si>
  <si>
    <t xml:space="preserve">tranleminhkhoi1510@gmail.com </t>
  </si>
  <si>
    <t xml:space="preserve">Trần Lê Minh Khôi </t>
  </si>
  <si>
    <t>manb2504882@student.ctu.edu.vn</t>
  </si>
  <si>
    <t>Ngô Triệu Mẫn</t>
  </si>
  <si>
    <t>Email</t>
  </si>
  <si>
    <t>Name</t>
  </si>
  <si>
    <t>Mem_Name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</si>
</sst>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</c:pivotFmt>
      <c:pivotFmt>
        <c:idx val="1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4F-4C0A-BD45-626918A2670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4F-4C0A-BD45-626918A2670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E4F-4C0A-BD45-626918A267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3"/>
              <c:pt idx="0">
                <c:v>Draft</c:v>
              </c:pt>
              <c:pt idx="1">
                <c:v>Missing</c:v>
              </c:pt>
              <c:pt idx="2">
                <c:v>Uploaded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2</c:v>
              </c:pt>
              <c:pt idx="2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6-EE4F-4C0A-BD45-626918A2670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[status1.xlsx]Assignment!PivotTable17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Assignment!$B$31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D0-4294-AF03-EA12C82039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D0-4294-AF03-EA12C82039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D0-4294-AF03-EA12C82039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CD0-4294-AF03-EA12C8203996}"/>
              </c:ext>
            </c:extLst>
          </c:dPt>
          <c:dLbls>
            <c:delete val="1"/>
          </c:dLbls>
          <c:cat>
            <c:strRef>
              <c:f>Assignment!$A$32:$A$36</c:f>
              <c:strCache>
                <c:ptCount val="4"/>
                <c:pt idx="0">
                  <c:v>Done</c:v>
                </c:pt>
                <c:pt idx="1">
                  <c:v>In Progress</c:v>
                </c:pt>
                <c:pt idx="2">
                  <c:v>Not Started</c:v>
                </c:pt>
                <c:pt idx="3">
                  <c:v>Overdue</c:v>
                </c:pt>
              </c:strCache>
            </c:strRef>
          </c:cat>
          <c:val>
            <c:numRef>
              <c:f>Assignment!$B$32:$B$36</c:f>
              <c:numCache>
                <c:formatCode>General</c:formatCode>
                <c:ptCount val="4"/>
                <c:pt idx="0">
                  <c:v>14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5-42C6-8363-F1C345465AF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685799</xdr:colOff>
      <xdr:row>11</xdr:row>
      <xdr:rowOff>19049</xdr:rowOff>
    </xdr:from>
    <xdr:to>
      <xdr:col>7</xdr:col>
      <xdr:colOff>95250</xdr:colOff>
      <xdr:row>37</xdr:row>
      <xdr:rowOff>142874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161923</xdr:colOff>
      <xdr:row>30</xdr:row>
      <xdr:rowOff>47624</xdr:rowOff>
    </xdr:from>
    <xdr:to>
      <xdr:col>6</xdr:col>
      <xdr:colOff>638734</xdr:colOff>
      <xdr:row>54</xdr:row>
      <xdr:rowOff>168087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97.777464236111" createdVersion="6" refreshedVersion="6" minRefreshableVersion="3" recordCount="28">
  <cacheSource type="worksheet">
    <worksheetSource ref="A1:I29" sheet="Assignment"/>
  </cacheSource>
  <cacheFields count="8">
    <cacheField name=" bbvvvvD/g" numFmtId="0">
      <sharedItems/>
    </cacheField>
    <cacheField name="Task_Name" numFmtId="0">
      <sharedItems/>
    </cacheField>
    <cacheField name="Task_detail" numFmtId="0">
      <sharedItems/>
    </cacheField>
    <cacheField name="Mem_ID" numFmtId="0">
      <sharedItems/>
    </cacheField>
    <cacheField name="Start_Date" numFmtId="0">
      <sharedItems/>
    </cacheField>
    <cacheField name="Deadline" numFmtId="0">
      <sharedItems/>
    </cacheField>
    <cacheField name="Completion_Date" numFmtId="0">
      <sharedItems/>
    </cacheField>
    <cacheField name="Status" numFmtId="0">
      <sharedItems count="4">
        <s v="Done"/>
        <s v="In Progress"/>
        <s v="Not Started"/>
        <s v="Overd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">
  <r>
    <s v="T01"/>
    <s v="Xác định phạm vi dự án và lập kế hoạch công việc"/>
    <s v="Xác định mục tiêu hệ thống Digital Team Hub, chia nhiệm vụ cho các thành viên và lập timeline thực hiện"/>
    <s v="B2504882"/>
    <s v="2026-03-11"/>
    <s v="2026-03-15"/>
    <s v="2026-03-13"/>
    <x v="0"/>
  </r>
  <r>
    <s v="T02"/>
    <s v="Thiết kế sơ đồ cơ sở dữ liệu (ERD)"/>
    <s v="Xác định các bảng MEMBERS, ASSIGNMENTS, LEARNING_RESOURCES, khóa chính và khóa ngoại"/>
    <s v="B2504882"/>
    <s v="2026-03-11"/>
    <s v="2026-03-15"/>
    <s v="2026-03-13"/>
    <x v="0"/>
  </r>
  <r>
    <s v="T03"/>
    <s v="Tạo cơ sở dữ liệu SQLite và các bảng"/>
    <s v="Tạo file TeamData.db và viết lệnh CREATE TABLE cho các bảng"/>
    <s v="B2504882"/>
    <s v="2026-03-11"/>
    <s v="2026-03-15"/>
    <s v="2026-03-13"/>
    <x v="0"/>
  </r>
  <r>
    <s v="T04"/>
    <s v="Viết các truy vấn SQL"/>
    <s v="Tạo các query lọc task theo trạng thái, join bảng MEMBERS và ASSIGNMENTS"/>
    <s v="B2504882"/>
    <s v="2026-03-11"/>
    <s v="2026-03-15"/>
    <s v="2026-03-13"/>
    <x v="0"/>
  </r>
  <r>
    <s v="T05"/>
    <s v="Tổng hợp tài liệu học tập Chapter 1–3"/>
    <s v="Tìm và lưu trữ slides, bài tập, code mẫu cho các chapter 1–3"/>
    <s v="B2504868"/>
    <s v="2026-03-13"/>
    <s v="2026-03-16"/>
    <s v=""/>
    <x v="1"/>
  </r>
  <r>
    <s v="T06"/>
    <s v="Tổng hợp tài liệu học tập Chapter 4–6"/>
    <s v="Tìm và lưu trữ slides, bài tập, code mẫu cho các chapter 4–6"/>
    <s v="B2504868"/>
    <s v="2026-03-13"/>
    <s v="2026-03-16"/>
    <s v=""/>
    <x v="1"/>
  </r>
  <r>
    <s v="T07"/>
    <s v="Cập nhật thông tin tài liệu vào database"/>
    <s v="Nhập các tài liệu đã thu thập vào bảng LEARNING_RESOURCES và cập nhật trạng thái"/>
    <s v="B2504882"/>
    <s v="2026-03-14"/>
    <s v="2026-03-16"/>
    <s v=""/>
    <x v="1"/>
  </r>
  <r>
    <s v="T08"/>
    <s v="Xuất dữ liệu từ database sang Excel"/>
    <s v="Export các bảng MEMBERS, ASSIGNMENTS, LEARNING_RESOURCES sang Excel"/>
    <s v="B2504867"/>
    <s v="2026-03-16"/>
    <s v="2026-03-19"/>
    <s v=""/>
    <x v="1"/>
  </r>
  <r>
    <s v="T09"/>
    <s v="Tạo dashboard trong Excel"/>
    <s v="Tạo biểu đồ thống kê trạng thái task và trạng thái tài liệu bằng Pivot hoặc chart"/>
    <s v="B2504867"/>
    <s v="2026-03-16"/>
    <s v="2026-03-19"/>
    <s v=""/>
    <x v="1"/>
  </r>
  <r>
    <s v="T10"/>
    <s v="Tạo GitHub repository cho project"/>
    <s v="Tạo repo, thiết lập cấu trúc thư mục và cấp quyền cho các thành viên"/>
    <s v="B2504878"/>
    <s v="2026-03-11"/>
    <s v="2026-03-15"/>
    <s v="2026-03-13"/>
    <x v="0"/>
  </r>
  <r>
    <s v="T11_A"/>
    <s v="Tạo GitHub account"/>
    <s v="Các thành viên tạo GitHub Account để up file lên repo"/>
    <s v="B2504867"/>
    <s v="2026-03-11"/>
    <s v="2026-03-14"/>
    <s v="2026-03-12"/>
    <x v="0"/>
  </r>
  <r>
    <s v="T12"/>
    <s v="Vẽ sơ đồ kết nối mạng của nhóm"/>
    <s v="Vẽ network topology từ thiết bị cá nhân → router → ISP → cloud services"/>
    <s v="B2504867"/>
    <s v="2026-03-11"/>
    <s v="2026-03-15"/>
    <s v="2026-03-12"/>
    <x v="0"/>
  </r>
  <r>
    <s v="T13"/>
    <s v="Thiết lập xác thực hai lớp (2FA) cho các tài khoản"/>
    <s v="Hướng dẫn các thành viên bật 2FA "/>
    <s v="B2504878"/>
    <s v="2026-03-19"/>
    <s v="2026-03-20"/>
    <s v=""/>
    <x v="2"/>
  </r>
  <r>
    <s v="T14"/>
    <s v="Soạn chính sách mật khẩu của nhóm"/>
    <s v="Viết quy định về độ dài mật khẩu, ký tự đặc biệt và cách quản lý mật khẩu"/>
    <s v="B2504878"/>
    <s v="2026-03-11"/>
    <s v="2026-03-15"/>
    <s v=""/>
    <x v="3"/>
  </r>
  <r>
    <s v="T15_A"/>
    <s v="Thu thập ảnh góc học tập của các thành viên"/>
    <s v="Chụp ảnh workspace của từng thành viên và chú thích theo tiêu chuẩn ergonomic"/>
    <s v="B2504867"/>
    <s v="2026-03-11"/>
    <s v="2026-03-14"/>
    <s v="2026-03-12"/>
    <x v="0"/>
  </r>
  <r>
    <s v="T16"/>
    <s v="Tổng hợp nội dung báo cáo kỹ thuật, word"/>
    <s v="Tổng hợp các phần giải thích về database, Excel dashboard, GitHub và các bước thực hiện từ các files ProcessRecord"/>
    <s v="B2504893"/>
    <s v="2026-03-20"/>
    <s v="2026-03-22"/>
    <s v=""/>
    <x v="2"/>
  </r>
  <r>
    <s v="T17"/>
    <s v="Thiết kế slide PowerPoint"/>
    <s v="Tạo các slide tóm tắt database schema, network diagram, security và AI prompts"/>
    <s v="B2504893"/>
    <s v="2026-03-20"/>
    <s v="2026-03-22"/>
    <s v=""/>
    <x v="2"/>
  </r>
  <r>
    <s v="T18"/>
    <s v="Dựng kịch bản quay Video"/>
    <s v="Xác định độ dài video. Xác định video gồm mấy phần, độ xài từng phần, mỗi phần sẽ gồm nhưng nói dung gì, trình bày/ biểu diễn ra sao."/>
    <s v="B2504893"/>
    <s v="2026-03-20"/>
    <s v="2026-03-22"/>
    <s v=""/>
    <x v="2"/>
  </r>
  <r>
    <s v="T19"/>
    <s v="Quay video demo hệ thống"/>
    <s v="Quay phần giới thiệu nhóm và demo database, Excel dashboard, GitHub"/>
    <s v="B2504893"/>
    <s v="2026-03-21"/>
    <s v="2026-03-24"/>
    <s v=""/>
    <x v="2"/>
  </r>
  <r>
    <s v="T20"/>
    <s v="Chuẩn bị file ZIP nộp bài"/>
    <s v="Gom tất cả file database, Excel, ảnh, report, video vào một file ZIP"/>
    <s v="B2504878"/>
    <s v="2026-03-21"/>
    <s v="2026-03-22"/>
    <s v=""/>
    <x v="2"/>
  </r>
  <r>
    <s v="T11_B"/>
    <s v="Tạo GitHub account"/>
    <s v="Các thành viên tạo GitHub Account để up file lên repo"/>
    <s v="B2504868"/>
    <s v="2026-03-11"/>
    <s v="2026-03-14"/>
    <s v="2026-03-12"/>
    <x v="0"/>
  </r>
  <r>
    <s v="T11_C"/>
    <s v="Tạo GitHub account"/>
    <s v="Các thành viên tạo GitHub Account để up file lên repo"/>
    <s v="B2504878"/>
    <s v="2026-03-11"/>
    <s v="2026-03-14"/>
    <s v="2026-03-12"/>
    <x v="0"/>
  </r>
  <r>
    <s v="T11_D"/>
    <s v="Tạo GitHub account"/>
    <s v="Các thành viên tạo GitHub Account để up file lên repo"/>
    <s v="B2504882"/>
    <s v="2026-03-11"/>
    <s v="2026-03-14"/>
    <s v="2026-03-15"/>
    <x v="3"/>
  </r>
  <r>
    <s v="T11_E"/>
    <s v="Tạo GitHub account"/>
    <s v="Các thành viên tạo GitHub Account để up file lên repo"/>
    <s v="B2504893"/>
    <s v="2026-03-11"/>
    <s v="2026-03-14"/>
    <s v="2026-03-12"/>
    <x v="0"/>
  </r>
  <r>
    <s v="T15_B"/>
    <s v="Thu thập ảnh góc học tập của các thành viên"/>
    <s v="Chụp ảnh workspace của từng thành viên và chú thích theo tiêu chuẩn ergonomic"/>
    <s v="B2504868"/>
    <s v="2026-03-11"/>
    <s v="2026-03-14"/>
    <s v="2026-03-12"/>
    <x v="0"/>
  </r>
  <r>
    <s v="T15_C"/>
    <s v="Thu thập ảnh góc học tập của các thành viên"/>
    <s v="Chụp ảnh workspace của từng thành viên và chú thích theo tiêu chuẩn ergonomic"/>
    <s v="B2504878"/>
    <s v="2026-03-11"/>
    <s v="2026-03-14"/>
    <s v="2026-03-12"/>
    <x v="0"/>
  </r>
  <r>
    <s v="T15_D"/>
    <s v="Thu thập ảnh góc học tập của các thành viên"/>
    <s v="Chụp ảnh workspace của từng thành viên và chú thích theo tiêu chuẩn ergonomic"/>
    <s v="B2504882"/>
    <s v="2026-03-11"/>
    <s v="2026-03-14"/>
    <s v="2026-03-15"/>
    <x v="3"/>
  </r>
  <r>
    <s v="T15_E"/>
    <s v="Thu thập ảnh góc học tập của các thành viên"/>
    <s v="Chụp ảnh workspace của từng thành viên và chú thích theo tiêu chuẩn ergonomic"/>
    <s v="B2504893"/>
    <s v="2026-03-11"/>
    <s v="2026-03-14"/>
    <s v="2026-03-1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1:B36" firstHeaderRow="1" firstDataRow="1" firstDataCol="1"/>
  <pivotFields count="8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7" subtotal="count" baseField="0" baseItem="0"/>
  </dataFields>
  <chartFormats count="5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sqref="A1:H11"/>
    </sheetView>
  </sheetViews>
  <sheetFormatPr defaultRowHeight="15" x14ac:dyDescent="0.25"/>
  <cols>
    <col min="2" max="2" width="27.42578125" customWidth="1"/>
    <col min="4" max="4" width="87" customWidth="1"/>
    <col min="5" max="5" width="19.42578125" customWidth="1"/>
    <col min="6" max="6" width="14.7109375" customWidth="1"/>
  </cols>
  <sheetData>
    <row r="1" spans="1:8" x14ac:dyDescent="0.25">
      <c r="A1" s="1" t="s">
        <v>131</v>
      </c>
      <c r="B1" s="1" t="s">
        <v>130</v>
      </c>
      <c r="C1" s="1" t="s">
        <v>129</v>
      </c>
      <c r="D1" s="1" t="s">
        <v>128</v>
      </c>
      <c r="E1" s="1" t="s">
        <v>4</v>
      </c>
      <c r="F1" s="1" t="s">
        <v>127</v>
      </c>
      <c r="G1" s="1" t="s">
        <v>2</v>
      </c>
      <c r="H1" s="1" t="s">
        <v>6</v>
      </c>
    </row>
    <row r="2" spans="1:8" x14ac:dyDescent="0.25">
      <c r="A2" s="2" t="s">
        <v>126</v>
      </c>
      <c r="B2" s="2" t="s">
        <v>125</v>
      </c>
      <c r="C2" s="2">
        <v>1</v>
      </c>
      <c r="D2" s="2" t="s">
        <v>124</v>
      </c>
      <c r="E2" s="2" t="s">
        <v>37</v>
      </c>
      <c r="F2" s="2" t="s">
        <v>13</v>
      </c>
      <c r="G2" s="2" t="s">
        <v>27</v>
      </c>
      <c r="H2" s="2" t="s">
        <v>103</v>
      </c>
    </row>
    <row r="3" spans="1:8" x14ac:dyDescent="0.25">
      <c r="A3" s="2" t="s">
        <v>123</v>
      </c>
      <c r="B3" s="2" t="s">
        <v>122</v>
      </c>
      <c r="C3" s="2">
        <v>2</v>
      </c>
      <c r="D3" s="2" t="s">
        <v>121</v>
      </c>
      <c r="E3" s="2" t="s">
        <v>37</v>
      </c>
      <c r="F3" s="2" t="s">
        <v>13</v>
      </c>
      <c r="G3" s="2" t="s">
        <v>27</v>
      </c>
      <c r="H3" s="2" t="s">
        <v>103</v>
      </c>
    </row>
    <row r="4" spans="1:8" x14ac:dyDescent="0.25">
      <c r="A4" s="2" t="s">
        <v>120</v>
      </c>
      <c r="B4" s="2" t="s">
        <v>119</v>
      </c>
      <c r="C4" s="2">
        <v>3</v>
      </c>
      <c r="D4" s="2" t="s">
        <v>29</v>
      </c>
      <c r="E4" s="2" t="s">
        <v>37</v>
      </c>
      <c r="F4" s="2" t="s">
        <v>29</v>
      </c>
      <c r="G4" s="2" t="s">
        <v>27</v>
      </c>
      <c r="H4" s="2" t="s">
        <v>107</v>
      </c>
    </row>
    <row r="5" spans="1:8" x14ac:dyDescent="0.25">
      <c r="A5" s="2" t="s">
        <v>118</v>
      </c>
      <c r="B5" s="2" t="s">
        <v>117</v>
      </c>
      <c r="C5" s="2">
        <v>4</v>
      </c>
      <c r="D5" s="2" t="s">
        <v>116</v>
      </c>
      <c r="E5" s="2" t="s">
        <v>37</v>
      </c>
      <c r="F5" s="2" t="s">
        <v>12</v>
      </c>
      <c r="G5" s="2" t="s">
        <v>27</v>
      </c>
      <c r="H5" s="2" t="s">
        <v>103</v>
      </c>
    </row>
    <row r="6" spans="1:8" x14ac:dyDescent="0.25">
      <c r="A6" s="2" t="s">
        <v>115</v>
      </c>
      <c r="B6" s="2" t="s">
        <v>114</v>
      </c>
      <c r="C6" s="2">
        <v>5</v>
      </c>
      <c r="D6" s="2" t="s">
        <v>113</v>
      </c>
      <c r="E6" s="2" t="s">
        <v>37</v>
      </c>
      <c r="F6" s="2" t="s">
        <v>12</v>
      </c>
      <c r="G6" s="2" t="s">
        <v>27</v>
      </c>
      <c r="H6" s="2" t="s">
        <v>103</v>
      </c>
    </row>
    <row r="7" spans="1:8" x14ac:dyDescent="0.25">
      <c r="A7" s="2" t="s">
        <v>112</v>
      </c>
      <c r="B7" s="2" t="s">
        <v>111</v>
      </c>
      <c r="C7" s="2">
        <v>6</v>
      </c>
      <c r="D7" s="2" t="s">
        <v>110</v>
      </c>
      <c r="E7" s="2" t="s">
        <v>37</v>
      </c>
      <c r="F7" s="2" t="s">
        <v>13</v>
      </c>
      <c r="G7" s="2" t="s">
        <v>27</v>
      </c>
      <c r="H7" s="2" t="s">
        <v>103</v>
      </c>
    </row>
    <row r="8" spans="1:8" x14ac:dyDescent="0.25">
      <c r="A8" s="2" t="s">
        <v>109</v>
      </c>
      <c r="B8" s="2" t="s">
        <v>108</v>
      </c>
      <c r="C8" s="2">
        <v>7</v>
      </c>
      <c r="D8" s="2" t="s">
        <v>29</v>
      </c>
      <c r="E8" s="2" t="s">
        <v>37</v>
      </c>
      <c r="F8" s="2" t="s">
        <v>29</v>
      </c>
      <c r="G8" s="2" t="s">
        <v>10</v>
      </c>
      <c r="H8" s="2" t="s">
        <v>107</v>
      </c>
    </row>
    <row r="9" spans="1:8" x14ac:dyDescent="0.25">
      <c r="A9" s="2" t="s">
        <v>106</v>
      </c>
      <c r="B9" s="2" t="s">
        <v>105</v>
      </c>
      <c r="C9" s="2">
        <v>8</v>
      </c>
      <c r="D9" s="2" t="s">
        <v>104</v>
      </c>
      <c r="E9" s="2" t="s">
        <v>37</v>
      </c>
      <c r="F9" s="2" t="s">
        <v>13</v>
      </c>
      <c r="G9" s="2" t="s">
        <v>27</v>
      </c>
      <c r="H9" s="2" t="s">
        <v>103</v>
      </c>
    </row>
    <row r="10" spans="1:8" x14ac:dyDescent="0.25">
      <c r="A10" s="2" t="s">
        <v>102</v>
      </c>
      <c r="B10" s="2" t="s">
        <v>101</v>
      </c>
      <c r="C10" s="2">
        <v>9</v>
      </c>
      <c r="D10" s="2" t="s">
        <v>29</v>
      </c>
      <c r="E10" s="2" t="s">
        <v>98</v>
      </c>
      <c r="F10" s="2" t="s">
        <v>29</v>
      </c>
      <c r="G10" s="2" t="s">
        <v>10</v>
      </c>
      <c r="H10" s="2" t="s">
        <v>97</v>
      </c>
    </row>
    <row r="11" spans="1:8" x14ac:dyDescent="0.25">
      <c r="A11" s="2" t="s">
        <v>100</v>
      </c>
      <c r="B11" s="2" t="s">
        <v>99</v>
      </c>
      <c r="C11" s="2">
        <v>10</v>
      </c>
      <c r="D11" s="2" t="s">
        <v>29</v>
      </c>
      <c r="E11" s="2" t="s">
        <v>98</v>
      </c>
      <c r="F11" s="2" t="s">
        <v>29</v>
      </c>
      <c r="G11" s="2" t="s">
        <v>27</v>
      </c>
      <c r="H11" s="2" t="s">
        <v>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topLeftCell="C1" zoomScaleNormal="100" workbookViewId="0">
      <selection activeCell="E2" sqref="E2:E29"/>
    </sheetView>
  </sheetViews>
  <sheetFormatPr defaultRowHeight="15" x14ac:dyDescent="0.25"/>
  <cols>
    <col min="1" max="1" width="13.140625" customWidth="1"/>
    <col min="2" max="2" width="14.5703125" customWidth="1"/>
    <col min="3" max="3" width="121.5703125" customWidth="1"/>
    <col min="4" max="4" width="9.140625" customWidth="1"/>
    <col min="5" max="5" width="49.5703125" customWidth="1"/>
    <col min="6" max="6" width="11.7109375" customWidth="1"/>
    <col min="7" max="7" width="12.7109375" customWidth="1"/>
    <col min="8" max="8" width="16.28515625" customWidth="1"/>
    <col min="9" max="9" width="12.5703125" customWidth="1"/>
  </cols>
  <sheetData>
    <row r="1" spans="1:9" x14ac:dyDescent="0.25">
      <c r="A1" s="1" t="s">
        <v>96</v>
      </c>
      <c r="B1" s="1" t="s">
        <v>0</v>
      </c>
      <c r="C1" s="1" t="s">
        <v>1</v>
      </c>
      <c r="D1" s="1" t="s">
        <v>2</v>
      </c>
      <c r="E1" s="6" t="s">
        <v>147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tr">
        <f>VLOOKUP(D2, Member!$A$2:$C$6, 2, 0)</f>
        <v>Ngô Triệu Mẫn</v>
      </c>
      <c r="F2" s="2" t="s">
        <v>11</v>
      </c>
      <c r="G2" s="2" t="s">
        <v>12</v>
      </c>
      <c r="H2" s="2" t="s">
        <v>13</v>
      </c>
      <c r="I2" s="2" t="s">
        <v>14</v>
      </c>
    </row>
    <row r="3" spans="1:9" x14ac:dyDescent="0.25">
      <c r="A3" s="2" t="s">
        <v>15</v>
      </c>
      <c r="B3" s="2" t="s">
        <v>16</v>
      </c>
      <c r="C3" s="2" t="s">
        <v>17</v>
      </c>
      <c r="D3" s="2" t="s">
        <v>10</v>
      </c>
      <c r="E3" s="2" t="str">
        <f>VLOOKUP(D3, Member!$A$2:$C$6, 2, 0)</f>
        <v>Ngô Triệu Mẫn</v>
      </c>
      <c r="F3" s="2" t="s">
        <v>11</v>
      </c>
      <c r="G3" s="2" t="s">
        <v>12</v>
      </c>
      <c r="H3" s="2" t="s">
        <v>13</v>
      </c>
      <c r="I3" s="2" t="s">
        <v>14</v>
      </c>
    </row>
    <row r="4" spans="1:9" x14ac:dyDescent="0.25">
      <c r="A4" s="2" t="s">
        <v>18</v>
      </c>
      <c r="B4" s="2" t="s">
        <v>19</v>
      </c>
      <c r="C4" s="2" t="s">
        <v>20</v>
      </c>
      <c r="D4" s="2" t="s">
        <v>10</v>
      </c>
      <c r="E4" s="2" t="str">
        <f>VLOOKUP(D4, Member!$A$2:$C$6, 2, 0)</f>
        <v>Ngô Triệu Mẫn</v>
      </c>
      <c r="F4" s="2" t="s">
        <v>11</v>
      </c>
      <c r="G4" s="2" t="s">
        <v>12</v>
      </c>
      <c r="H4" s="2" t="s">
        <v>13</v>
      </c>
      <c r="I4" s="2" t="s">
        <v>14</v>
      </c>
    </row>
    <row r="5" spans="1:9" x14ac:dyDescent="0.25">
      <c r="A5" s="2" t="s">
        <v>21</v>
      </c>
      <c r="B5" s="2" t="s">
        <v>22</v>
      </c>
      <c r="C5" s="2" t="s">
        <v>23</v>
      </c>
      <c r="D5" s="2" t="s">
        <v>10</v>
      </c>
      <c r="E5" s="2" t="str">
        <f>VLOOKUP(D5, Member!$A$2:$C$6, 2, 0)</f>
        <v>Ngô Triệu Mẫn</v>
      </c>
      <c r="F5" s="2" t="s">
        <v>11</v>
      </c>
      <c r="G5" s="2" t="s">
        <v>12</v>
      </c>
      <c r="H5" s="2" t="s">
        <v>13</v>
      </c>
      <c r="I5" s="2" t="s">
        <v>14</v>
      </c>
    </row>
    <row r="6" spans="1:9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>VLOOKUP(D6, Member!$A$2:$C$6, 2, 0)</f>
        <v>Nguyễn Phúc Nguyên Chương</v>
      </c>
      <c r="F6" s="2" t="s">
        <v>13</v>
      </c>
      <c r="G6" s="2" t="s">
        <v>28</v>
      </c>
      <c r="H6" s="2" t="s">
        <v>29</v>
      </c>
      <c r="I6" s="2" t="s">
        <v>30</v>
      </c>
    </row>
    <row r="7" spans="1:9" x14ac:dyDescent="0.25">
      <c r="A7" s="2" t="s">
        <v>31</v>
      </c>
      <c r="B7" s="2" t="s">
        <v>32</v>
      </c>
      <c r="C7" s="2" t="s">
        <v>33</v>
      </c>
      <c r="D7" s="2" t="s">
        <v>27</v>
      </c>
      <c r="E7" s="2" t="str">
        <f>VLOOKUP(D7, Member!$A$2:$C$6, 2, 0)</f>
        <v>Nguyễn Phúc Nguyên Chương</v>
      </c>
      <c r="F7" s="2" t="s">
        <v>13</v>
      </c>
      <c r="G7" s="2" t="s">
        <v>28</v>
      </c>
      <c r="H7" s="2" t="s">
        <v>29</v>
      </c>
      <c r="I7" s="2" t="s">
        <v>30</v>
      </c>
    </row>
    <row r="8" spans="1:9" x14ac:dyDescent="0.25">
      <c r="A8" s="2" t="s">
        <v>34</v>
      </c>
      <c r="B8" s="2" t="s">
        <v>35</v>
      </c>
      <c r="C8" s="2" t="s">
        <v>36</v>
      </c>
      <c r="D8" s="2" t="s">
        <v>10</v>
      </c>
      <c r="E8" s="2" t="str">
        <f>VLOOKUP(D8, Member!$A$2:$C$6, 2, 0)</f>
        <v>Ngô Triệu Mẫn</v>
      </c>
      <c r="F8" s="2" t="s">
        <v>37</v>
      </c>
      <c r="G8" s="2" t="s">
        <v>28</v>
      </c>
      <c r="H8" s="2" t="s">
        <v>29</v>
      </c>
      <c r="I8" s="2" t="s">
        <v>30</v>
      </c>
    </row>
    <row r="9" spans="1:9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tr">
        <f>VLOOKUP(D9, Member!$A$2:$C$6, 2, 0)</f>
        <v>Nguyễn Ngọc Châu</v>
      </c>
      <c r="F9" s="2" t="s">
        <v>28</v>
      </c>
      <c r="G9" s="2" t="s">
        <v>42</v>
      </c>
      <c r="H9" s="2" t="s">
        <v>29</v>
      </c>
      <c r="I9" s="2" t="s">
        <v>30</v>
      </c>
    </row>
    <row r="10" spans="1:9" x14ac:dyDescent="0.25">
      <c r="A10" s="2" t="s">
        <v>43</v>
      </c>
      <c r="B10" s="2" t="s">
        <v>44</v>
      </c>
      <c r="C10" s="2" t="s">
        <v>45</v>
      </c>
      <c r="D10" s="2" t="s">
        <v>41</v>
      </c>
      <c r="E10" s="2" t="str">
        <f>VLOOKUP(D10, Member!$A$2:$C$6, 2, 0)</f>
        <v>Nguyễn Ngọc Châu</v>
      </c>
      <c r="F10" s="2" t="s">
        <v>28</v>
      </c>
      <c r="G10" s="2" t="s">
        <v>42</v>
      </c>
      <c r="H10" s="2" t="s">
        <v>29</v>
      </c>
      <c r="I10" s="2" t="s">
        <v>30</v>
      </c>
    </row>
    <row r="11" spans="1:9" x14ac:dyDescent="0.25">
      <c r="A11" s="2" t="s">
        <v>46</v>
      </c>
      <c r="B11" s="2" t="s">
        <v>47</v>
      </c>
      <c r="C11" s="2" t="s">
        <v>48</v>
      </c>
      <c r="D11" s="2" t="s">
        <v>49</v>
      </c>
      <c r="E11" s="2" t="str">
        <f>VLOOKUP(D11, Member!$A$2:$C$6, 2, 0)</f>
        <v xml:space="preserve">Trần Lê Minh Khôi </v>
      </c>
      <c r="F11" s="2" t="s">
        <v>11</v>
      </c>
      <c r="G11" s="2" t="s">
        <v>12</v>
      </c>
      <c r="H11" s="2" t="s">
        <v>13</v>
      </c>
      <c r="I11" s="2" t="s">
        <v>14</v>
      </c>
    </row>
    <row r="12" spans="1:9" x14ac:dyDescent="0.25">
      <c r="A12" s="2" t="s">
        <v>50</v>
      </c>
      <c r="B12" s="2" t="s">
        <v>51</v>
      </c>
      <c r="C12" s="2" t="s">
        <v>52</v>
      </c>
      <c r="D12" s="2" t="s">
        <v>41</v>
      </c>
      <c r="E12" s="2" t="str">
        <f>VLOOKUP(D12, Member!$A$2:$C$6, 2, 0)</f>
        <v>Nguyễn Ngọc Châu</v>
      </c>
      <c r="F12" s="2" t="s">
        <v>11</v>
      </c>
      <c r="G12" s="2" t="s">
        <v>37</v>
      </c>
      <c r="H12" s="2" t="s">
        <v>53</v>
      </c>
      <c r="I12" s="2" t="s">
        <v>14</v>
      </c>
    </row>
    <row r="13" spans="1:9" x14ac:dyDescent="0.25">
      <c r="A13" s="2" t="s">
        <v>54</v>
      </c>
      <c r="B13" s="2" t="s">
        <v>55</v>
      </c>
      <c r="C13" s="2" t="s">
        <v>56</v>
      </c>
      <c r="D13" s="2" t="s">
        <v>41</v>
      </c>
      <c r="E13" s="2" t="str">
        <f>VLOOKUP(D13, Member!$A$2:$C$6, 2, 0)</f>
        <v>Nguyễn Ngọc Châu</v>
      </c>
      <c r="F13" s="2" t="s">
        <v>11</v>
      </c>
      <c r="G13" s="2" t="s">
        <v>12</v>
      </c>
      <c r="H13" s="2" t="s">
        <v>53</v>
      </c>
      <c r="I13" s="2" t="s">
        <v>14</v>
      </c>
    </row>
    <row r="14" spans="1:9" x14ac:dyDescent="0.25">
      <c r="A14" s="2" t="s">
        <v>57</v>
      </c>
      <c r="B14" s="2" t="s">
        <v>58</v>
      </c>
      <c r="C14" s="2" t="s">
        <v>59</v>
      </c>
      <c r="D14" s="2" t="s">
        <v>49</v>
      </c>
      <c r="E14" s="2" t="str">
        <f>VLOOKUP(D14, Member!$A$2:$C$6, 2, 0)</f>
        <v xml:space="preserve">Trần Lê Minh Khôi </v>
      </c>
      <c r="F14" s="2" t="s">
        <v>42</v>
      </c>
      <c r="G14" s="2" t="s">
        <v>60</v>
      </c>
      <c r="H14" s="2" t="s">
        <v>29</v>
      </c>
      <c r="I14" s="2" t="s">
        <v>61</v>
      </c>
    </row>
    <row r="15" spans="1:9" x14ac:dyDescent="0.25">
      <c r="A15" s="2" t="s">
        <v>62</v>
      </c>
      <c r="B15" s="2" t="s">
        <v>63</v>
      </c>
      <c r="C15" s="2" t="s">
        <v>64</v>
      </c>
      <c r="D15" s="2" t="s">
        <v>49</v>
      </c>
      <c r="E15" s="2" t="str">
        <f>VLOOKUP(D15, Member!$A$2:$C$6, 2, 0)</f>
        <v xml:space="preserve">Trần Lê Minh Khôi </v>
      </c>
      <c r="F15" s="2" t="s">
        <v>11</v>
      </c>
      <c r="G15" s="2" t="s">
        <v>12</v>
      </c>
      <c r="H15" s="2" t="s">
        <v>29</v>
      </c>
      <c r="I15" s="2" t="s">
        <v>65</v>
      </c>
    </row>
    <row r="16" spans="1:9" x14ac:dyDescent="0.25">
      <c r="A16" s="2" t="s">
        <v>66</v>
      </c>
      <c r="B16" s="2" t="s">
        <v>67</v>
      </c>
      <c r="C16" s="2" t="s">
        <v>68</v>
      </c>
      <c r="D16" s="2" t="s">
        <v>41</v>
      </c>
      <c r="E16" s="2" t="str">
        <f>VLOOKUP(D16, Member!$A$2:$C$6, 2, 0)</f>
        <v>Nguyễn Ngọc Châu</v>
      </c>
      <c r="F16" s="2" t="s">
        <v>11</v>
      </c>
      <c r="G16" s="2" t="s">
        <v>37</v>
      </c>
      <c r="H16" s="2" t="s">
        <v>53</v>
      </c>
      <c r="I16" s="2" t="s">
        <v>14</v>
      </c>
    </row>
    <row r="17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tr">
        <f>VLOOKUP(D17, Member!$A$2:$C$6, 2, 0)</f>
        <v>Nguyễn Thành Tài</v>
      </c>
      <c r="F17" s="2" t="s">
        <v>60</v>
      </c>
      <c r="G17" s="2" t="s">
        <v>73</v>
      </c>
      <c r="H17" s="2" t="s">
        <v>29</v>
      </c>
      <c r="I17" s="2" t="s">
        <v>61</v>
      </c>
    </row>
    <row r="18" spans="1:9" x14ac:dyDescent="0.25">
      <c r="A18" s="2" t="s">
        <v>74</v>
      </c>
      <c r="B18" s="2" t="s">
        <v>75</v>
      </c>
      <c r="C18" s="2" t="s">
        <v>76</v>
      </c>
      <c r="D18" s="2" t="s">
        <v>72</v>
      </c>
      <c r="E18" s="2" t="str">
        <f>VLOOKUP(D18, Member!$A$2:$C$6, 2, 0)</f>
        <v>Nguyễn Thành Tài</v>
      </c>
      <c r="F18" s="2" t="s">
        <v>60</v>
      </c>
      <c r="G18" s="2" t="s">
        <v>73</v>
      </c>
      <c r="H18" s="2" t="s">
        <v>29</v>
      </c>
      <c r="I18" s="2" t="s">
        <v>61</v>
      </c>
    </row>
    <row r="19" spans="1:9" x14ac:dyDescent="0.25">
      <c r="A19" s="2" t="s">
        <v>77</v>
      </c>
      <c r="B19" s="2" t="s">
        <v>78</v>
      </c>
      <c r="C19" s="2" t="s">
        <v>79</v>
      </c>
      <c r="D19" s="2" t="s">
        <v>72</v>
      </c>
      <c r="E19" s="2" t="str">
        <f>VLOOKUP(D19, Member!$A$2:$C$6, 2, 0)</f>
        <v>Nguyễn Thành Tài</v>
      </c>
      <c r="F19" s="2" t="s">
        <v>60</v>
      </c>
      <c r="G19" s="2" t="s">
        <v>73</v>
      </c>
      <c r="H19" s="2" t="s">
        <v>29</v>
      </c>
      <c r="I19" s="2" t="s">
        <v>61</v>
      </c>
    </row>
    <row r="20" spans="1:9" x14ac:dyDescent="0.25">
      <c r="A20" s="2" t="s">
        <v>80</v>
      </c>
      <c r="B20" s="2" t="s">
        <v>81</v>
      </c>
      <c r="C20" s="2" t="s">
        <v>82</v>
      </c>
      <c r="D20" s="2" t="s">
        <v>72</v>
      </c>
      <c r="E20" s="2" t="str">
        <f>VLOOKUP(D20, Member!$A$2:$C$6, 2, 0)</f>
        <v>Nguyễn Thành Tài</v>
      </c>
      <c r="F20" s="2" t="s">
        <v>83</v>
      </c>
      <c r="G20" s="2" t="s">
        <v>84</v>
      </c>
      <c r="H20" s="2" t="s">
        <v>29</v>
      </c>
      <c r="I20" s="2" t="s">
        <v>61</v>
      </c>
    </row>
    <row r="21" spans="1:9" x14ac:dyDescent="0.25">
      <c r="A21" s="2" t="s">
        <v>85</v>
      </c>
      <c r="B21" s="2" t="s">
        <v>86</v>
      </c>
      <c r="C21" s="2" t="s">
        <v>87</v>
      </c>
      <c r="D21" s="2" t="s">
        <v>49</v>
      </c>
      <c r="E21" s="2" t="str">
        <f>VLOOKUP(D21, Member!$A$2:$C$6, 2, 0)</f>
        <v xml:space="preserve">Trần Lê Minh Khôi </v>
      </c>
      <c r="F21" s="2" t="s">
        <v>83</v>
      </c>
      <c r="G21" s="2" t="s">
        <v>73</v>
      </c>
      <c r="H21" s="2" t="s">
        <v>29</v>
      </c>
      <c r="I21" s="2" t="s">
        <v>61</v>
      </c>
    </row>
    <row r="22" spans="1:9" x14ac:dyDescent="0.25">
      <c r="A22" s="2" t="s">
        <v>88</v>
      </c>
      <c r="B22" s="2" t="s">
        <v>51</v>
      </c>
      <c r="C22" s="2" t="s">
        <v>52</v>
      </c>
      <c r="D22" s="2" t="s">
        <v>27</v>
      </c>
      <c r="E22" s="2" t="str">
        <f>VLOOKUP(D22, Member!$A$2:$C$6, 2, 0)</f>
        <v>Nguyễn Phúc Nguyên Chương</v>
      </c>
      <c r="F22" s="2" t="s">
        <v>11</v>
      </c>
      <c r="G22" s="2" t="s">
        <v>37</v>
      </c>
      <c r="H22" s="2" t="s">
        <v>53</v>
      </c>
      <c r="I22" s="2" t="s">
        <v>14</v>
      </c>
    </row>
    <row r="23" spans="1:9" x14ac:dyDescent="0.25">
      <c r="A23" s="2" t="s">
        <v>89</v>
      </c>
      <c r="B23" s="2" t="s">
        <v>51</v>
      </c>
      <c r="C23" s="2" t="s">
        <v>52</v>
      </c>
      <c r="D23" s="2" t="s">
        <v>49</v>
      </c>
      <c r="E23" s="2" t="str">
        <f>VLOOKUP(D23, Member!$A$2:$C$6, 2, 0)</f>
        <v xml:space="preserve">Trần Lê Minh Khôi </v>
      </c>
      <c r="F23" s="2" t="s">
        <v>11</v>
      </c>
      <c r="G23" s="2" t="s">
        <v>37</v>
      </c>
      <c r="H23" s="2" t="s">
        <v>53</v>
      </c>
      <c r="I23" s="2" t="s">
        <v>14</v>
      </c>
    </row>
    <row r="24" spans="1:9" x14ac:dyDescent="0.25">
      <c r="A24" s="2" t="s">
        <v>90</v>
      </c>
      <c r="B24" s="2" t="s">
        <v>51</v>
      </c>
      <c r="C24" s="2" t="s">
        <v>52</v>
      </c>
      <c r="D24" s="2" t="s">
        <v>10</v>
      </c>
      <c r="E24" s="2" t="str">
        <f>VLOOKUP(D24, Member!$A$2:$C$6, 2, 0)</f>
        <v>Ngô Triệu Mẫn</v>
      </c>
      <c r="F24" s="2" t="s">
        <v>11</v>
      </c>
      <c r="G24" s="2" t="s">
        <v>37</v>
      </c>
      <c r="H24" s="2" t="s">
        <v>12</v>
      </c>
      <c r="I24" s="2" t="s">
        <v>65</v>
      </c>
    </row>
    <row r="25" spans="1:9" x14ac:dyDescent="0.25">
      <c r="A25" s="2" t="s">
        <v>91</v>
      </c>
      <c r="B25" s="2" t="s">
        <v>51</v>
      </c>
      <c r="C25" s="2" t="s">
        <v>52</v>
      </c>
      <c r="D25" s="2" t="s">
        <v>72</v>
      </c>
      <c r="E25" s="2" t="str">
        <f>VLOOKUP(D25, Member!$A$2:$C$6, 2, 0)</f>
        <v>Nguyễn Thành Tài</v>
      </c>
      <c r="F25" s="2" t="s">
        <v>11</v>
      </c>
      <c r="G25" s="2" t="s">
        <v>37</v>
      </c>
      <c r="H25" s="2" t="s">
        <v>53</v>
      </c>
      <c r="I25" s="2" t="s">
        <v>14</v>
      </c>
    </row>
    <row r="26" spans="1:9" x14ac:dyDescent="0.25">
      <c r="A26" s="2" t="s">
        <v>92</v>
      </c>
      <c r="B26" s="2" t="s">
        <v>67</v>
      </c>
      <c r="C26" s="2" t="s">
        <v>68</v>
      </c>
      <c r="D26" s="2" t="s">
        <v>27</v>
      </c>
      <c r="E26" s="2" t="str">
        <f>VLOOKUP(D26, Member!$A$2:$C$6, 2, 0)</f>
        <v>Nguyễn Phúc Nguyên Chương</v>
      </c>
      <c r="F26" s="2" t="s">
        <v>11</v>
      </c>
      <c r="G26" s="2" t="s">
        <v>37</v>
      </c>
      <c r="H26" s="2" t="s">
        <v>53</v>
      </c>
      <c r="I26" s="2" t="s">
        <v>14</v>
      </c>
    </row>
    <row r="27" spans="1:9" x14ac:dyDescent="0.25">
      <c r="A27" s="2" t="s">
        <v>93</v>
      </c>
      <c r="B27" s="2" t="s">
        <v>67</v>
      </c>
      <c r="C27" s="2" t="s">
        <v>68</v>
      </c>
      <c r="D27" s="2" t="s">
        <v>49</v>
      </c>
      <c r="E27" s="2" t="str">
        <f>VLOOKUP(D27, Member!$A$2:$C$6, 2, 0)</f>
        <v xml:space="preserve">Trần Lê Minh Khôi </v>
      </c>
      <c r="F27" s="2" t="s">
        <v>11</v>
      </c>
      <c r="G27" s="2" t="s">
        <v>37</v>
      </c>
      <c r="H27" s="2" t="s">
        <v>53</v>
      </c>
      <c r="I27" s="2" t="s">
        <v>14</v>
      </c>
    </row>
    <row r="28" spans="1:9" x14ac:dyDescent="0.25">
      <c r="A28" s="2" t="s">
        <v>94</v>
      </c>
      <c r="B28" s="2" t="s">
        <v>67</v>
      </c>
      <c r="C28" s="2" t="s">
        <v>68</v>
      </c>
      <c r="D28" s="2" t="s">
        <v>10</v>
      </c>
      <c r="E28" s="2" t="str">
        <f>VLOOKUP(D28, Member!$A$2:$C$6, 2, 0)</f>
        <v>Ngô Triệu Mẫn</v>
      </c>
      <c r="F28" s="2" t="s">
        <v>11</v>
      </c>
      <c r="G28" s="2" t="s">
        <v>37</v>
      </c>
      <c r="H28" s="2" t="s">
        <v>12</v>
      </c>
      <c r="I28" s="2" t="s">
        <v>65</v>
      </c>
    </row>
    <row r="29" spans="1:9" x14ac:dyDescent="0.25">
      <c r="A29" s="2" t="s">
        <v>95</v>
      </c>
      <c r="B29" s="2" t="s">
        <v>67</v>
      </c>
      <c r="C29" s="2" t="s">
        <v>68</v>
      </c>
      <c r="D29" s="2" t="s">
        <v>72</v>
      </c>
      <c r="E29" s="2" t="str">
        <f>VLOOKUP(D29, Member!$A$2:$C$6, 2, 0)</f>
        <v>Nguyễn Thành Tài</v>
      </c>
      <c r="F29" s="2" t="s">
        <v>11</v>
      </c>
      <c r="G29" s="2" t="s">
        <v>37</v>
      </c>
      <c r="H29" s="2" t="s">
        <v>53</v>
      </c>
      <c r="I29" s="2" t="s">
        <v>14</v>
      </c>
    </row>
    <row r="31" spans="1:9" x14ac:dyDescent="0.25">
      <c r="A31" s="3" t="s">
        <v>132</v>
      </c>
      <c r="B31" t="s">
        <v>134</v>
      </c>
    </row>
    <row r="32" spans="1:9" x14ac:dyDescent="0.25">
      <c r="A32" s="4" t="s">
        <v>14</v>
      </c>
      <c r="B32" s="5">
        <v>14</v>
      </c>
    </row>
    <row r="33" spans="1:2" x14ac:dyDescent="0.25">
      <c r="A33" s="4" t="s">
        <v>30</v>
      </c>
      <c r="B33" s="5">
        <v>5</v>
      </c>
    </row>
    <row r="34" spans="1:2" x14ac:dyDescent="0.25">
      <c r="A34" s="4" t="s">
        <v>61</v>
      </c>
      <c r="B34" s="5">
        <v>6</v>
      </c>
    </row>
    <row r="35" spans="1:2" x14ac:dyDescent="0.25">
      <c r="A35" s="4" t="s">
        <v>65</v>
      </c>
      <c r="B35" s="5">
        <v>3</v>
      </c>
    </row>
    <row r="36" spans="1:2" x14ac:dyDescent="0.25">
      <c r="A36" s="4" t="s">
        <v>133</v>
      </c>
      <c r="B36" s="5">
        <v>28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" sqref="B1"/>
    </sheetView>
  </sheetViews>
  <sheetFormatPr defaultRowHeight="15" x14ac:dyDescent="0.25"/>
  <cols>
    <col min="2" max="2" width="27.85546875" bestFit="1" customWidth="1"/>
    <col min="3" max="3" width="34.140625" customWidth="1"/>
  </cols>
  <sheetData>
    <row r="1" spans="1:3" x14ac:dyDescent="0.25">
      <c r="A1" s="1" t="s">
        <v>2</v>
      </c>
      <c r="B1" s="1" t="s">
        <v>146</v>
      </c>
      <c r="C1" s="1" t="s">
        <v>145</v>
      </c>
    </row>
    <row r="2" spans="1:3" x14ac:dyDescent="0.25">
      <c r="A2" s="2" t="s">
        <v>10</v>
      </c>
      <c r="B2" s="2" t="s">
        <v>144</v>
      </c>
      <c r="C2" s="2" t="s">
        <v>143</v>
      </c>
    </row>
    <row r="3" spans="1:3" x14ac:dyDescent="0.25">
      <c r="A3" s="2" t="s">
        <v>49</v>
      </c>
      <c r="B3" s="2" t="s">
        <v>142</v>
      </c>
      <c r="C3" s="2" t="s">
        <v>141</v>
      </c>
    </row>
    <row r="4" spans="1:3" x14ac:dyDescent="0.25">
      <c r="A4" s="2" t="s">
        <v>27</v>
      </c>
      <c r="B4" s="2" t="s">
        <v>140</v>
      </c>
      <c r="C4" s="2" t="s">
        <v>139</v>
      </c>
    </row>
    <row r="5" spans="1:3" x14ac:dyDescent="0.25">
      <c r="A5" s="2" t="s">
        <v>41</v>
      </c>
      <c r="B5" s="2" t="s">
        <v>138</v>
      </c>
      <c r="C5" s="2" t="s">
        <v>137</v>
      </c>
    </row>
    <row r="6" spans="1:3" x14ac:dyDescent="0.25">
      <c r="A6" s="2" t="s">
        <v>72</v>
      </c>
      <c r="B6" s="2" t="s">
        <v>136</v>
      </c>
      <c r="C6" s="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Learning resources</vt:lpstr>
      <vt:lpstr>Assignment</vt:lpstr>
      <vt:lpstr>Member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2026-03-16T11:09:03Z</dcterms:created>
  <dcterms:modified xsi:type="dcterms:W3CDTF">2026-03-22T15:39:11Z</dcterms:modified>
</cp:coreProperties>
</file>